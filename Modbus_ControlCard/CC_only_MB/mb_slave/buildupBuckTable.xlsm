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GitHub\GW\GW_PRB\Code\F28377D_V2_BUCK_CPU1\mb_slave\"/>
    </mc:Choice>
  </mc:AlternateContent>
  <xr:revisionPtr revIDLastSave="0" documentId="13_ncr:1_{F8803A6F-5FA3-42A8-A85A-8F140902DFB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1" r:id="rId1"/>
    <sheet name="Typedef" sheetId="3" r:id="rId2"/>
  </sheets>
  <functionGroups builtInGroupCount="19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1" l="1"/>
  <c r="E3" i="1"/>
  <c r="E18" i="1"/>
  <c r="E7" i="1" s="1"/>
  <c r="E5" i="1"/>
  <c r="E9" i="1"/>
  <c r="E6" i="1" s="1"/>
  <c r="E8" i="1" l="1"/>
  <c r="D9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</calcChain>
</file>

<file path=xl/sharedStrings.xml><?xml version="1.0" encoding="utf-8"?>
<sst xmlns="http://schemas.openxmlformats.org/spreadsheetml/2006/main" count="231" uniqueCount="157">
  <si>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</si>
  <si>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</si>
  <si>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</si>
  <si>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</si>
  <si>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</si>
  <si>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</si>
  <si>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</si>
  <si>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</si>
  <si>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</si>
  <si>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</si>
  <si>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</si>
  <si>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</si>
  <si>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</si>
  <si>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</si>
  <si>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</si>
  <si>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</si>
  <si>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</si>
  <si>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Voltage Reference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</si>
  <si>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</si>
  <si>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</si>
  <si>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</si>
  <si>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Voltage Loop KP</t>
    <phoneticPr fontId="1" type="noConversion"/>
  </si>
  <si>
    <t>Voltage Loop KI</t>
    <phoneticPr fontId="1" type="noConversion"/>
  </si>
  <si>
    <t>Current Loop KP</t>
    <phoneticPr fontId="1" type="noConversion"/>
  </si>
  <si>
    <t>Current Loop KI</t>
    <phoneticPr fontId="1" type="noConversion"/>
  </si>
  <si>
    <t>Enable PWM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</si>
  <si>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</si>
  <si>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</si>
  <si>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</si>
  <si>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</si>
  <si>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</si>
  <si>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</si>
  <si>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</si>
  <si>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</si>
  <si>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</si>
  <si>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</si>
  <si>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</si>
  <si>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</si>
  <si>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</si>
  <si>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</si>
  <si>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</si>
  <si>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</si>
  <si>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</si>
  <si>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</si>
  <si>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</si>
  <si>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Eeprom Group</t>
    <phoneticPr fontId="1" type="noConversion"/>
  </si>
  <si>
    <t xml:space="preserve">Measure Inductor Current </t>
    <phoneticPr fontId="1" type="noConversion"/>
  </si>
  <si>
    <t>Positive Current Limit</t>
    <phoneticPr fontId="1" type="noConversion"/>
  </si>
  <si>
    <t>Negative Current Limit</t>
    <phoneticPr fontId="1" type="noConversion"/>
  </si>
  <si>
    <t>Heartbeat C28</t>
    <phoneticPr fontId="1" type="noConversion"/>
  </si>
  <si>
    <t>Heartbeat CLA</t>
    <phoneticPr fontId="1" type="noConversion"/>
  </si>
  <si>
    <t>sDrv.f32RemoteVref</t>
    <phoneticPr fontId="1" type="noConversion"/>
  </si>
  <si>
    <t>sDrv.fgStatus</t>
    <phoneticPr fontId="1" type="noConversion"/>
  </si>
  <si>
    <t>sDrv.fgError</t>
    <phoneticPr fontId="1" type="noConversion"/>
  </si>
  <si>
    <t>sDrv.sVO.sLPF.f32Out</t>
    <phoneticPr fontId="1" type="noConversion"/>
  </si>
  <si>
    <t>sDrv.sVIN.sLPF.f32Out</t>
    <phoneticPr fontId="1" type="noConversion"/>
  </si>
  <si>
    <t>sDrv.sIO.sLPF.f32Out</t>
    <phoneticPr fontId="1" type="noConversion"/>
  </si>
  <si>
    <t>sDrv.sIL.sLPF.f32Out</t>
    <phoneticPr fontId="1" type="noConversion"/>
  </si>
  <si>
    <t>sDrv.sLoopV.f32Kp</t>
    <phoneticPr fontId="1" type="noConversion"/>
  </si>
  <si>
    <t>sDrv.sLoopV.f32Ki</t>
    <phoneticPr fontId="1" type="noConversion"/>
  </si>
  <si>
    <t>sDrv.sLoopI.f32Kp</t>
    <phoneticPr fontId="1" type="noConversion"/>
  </si>
  <si>
    <t>sDrv.sLoopI.f32Ki</t>
    <phoneticPr fontId="1" type="noConversion"/>
  </si>
  <si>
    <t>Open Loop Gain</t>
    <phoneticPr fontId="1" type="noConversion"/>
  </si>
  <si>
    <t>sDrv.f32OpenGain</t>
  </si>
  <si>
    <t>sDrv.u32HeartBeat</t>
    <phoneticPr fontId="1" type="noConversion"/>
  </si>
  <si>
    <t>sCLA.u32HeartBeat</t>
    <phoneticPr fontId="1" type="noConversion"/>
  </si>
  <si>
    <t>sDrv.f32IrefLimitP</t>
  </si>
  <si>
    <t>sDrv.f32IrefLimitN</t>
    <phoneticPr fontId="1" type="noConversion"/>
  </si>
  <si>
    <t>sDrv.f32RemoteHwOvp</t>
    <phoneticPr fontId="1" type="noConversion"/>
  </si>
  <si>
    <t>Version</t>
    <phoneticPr fontId="1" type="noConversion"/>
  </si>
  <si>
    <t>FW_VERSION</t>
    <phoneticPr fontId="1" type="noConversion"/>
  </si>
  <si>
    <t>FW_BUILDDATE</t>
    <phoneticPr fontId="1" type="noConversion"/>
  </si>
  <si>
    <t>Calibration Command</t>
    <phoneticPr fontId="1" type="noConversion"/>
  </si>
  <si>
    <t>Calibration Ack</t>
    <phoneticPr fontId="1" type="noConversion"/>
  </si>
  <si>
    <t>Calibration Data</t>
    <phoneticPr fontId="1" type="noConversion"/>
  </si>
  <si>
    <t>Calibration Return</t>
    <phoneticPr fontId="1" type="noConversion"/>
  </si>
  <si>
    <t>sRmtCal.f32Data</t>
    <phoneticPr fontId="1" type="noConversion"/>
  </si>
  <si>
    <t>sRmtCal.f32Return</t>
    <phoneticPr fontId="1" type="noConversion"/>
  </si>
  <si>
    <t>RD Mode</t>
    <phoneticPr fontId="1" type="noConversion"/>
  </si>
  <si>
    <t>sDrv.u32RdMode</t>
    <phoneticPr fontId="1" type="noConversion"/>
  </si>
  <si>
    <t>// SaveFlash=0x4000, Vin=0x100, Vo=0x200, Io=0x400, IL=0x800</t>
    <phoneticPr fontId="1" type="noConversion"/>
  </si>
  <si>
    <t>// _FORCE_OUTPUT=1,   _OPEN_LOOP=2,  _CLOSE_LOOP=4</t>
    <phoneticPr fontId="1" type="noConversion"/>
  </si>
  <si>
    <t>Record Working Status</t>
    <phoneticPr fontId="1" type="noConversion"/>
  </si>
  <si>
    <t>Record Error Status</t>
    <phoneticPr fontId="1" type="noConversion"/>
  </si>
  <si>
    <t>sDrv.sRecord.fgStatus</t>
    <phoneticPr fontId="1" type="noConversion"/>
  </si>
  <si>
    <t>sDrv.sRecord.fgError</t>
    <phoneticPr fontId="1" type="noConversion"/>
  </si>
  <si>
    <t>Brown In Voltage</t>
    <phoneticPr fontId="1" type="noConversion"/>
  </si>
  <si>
    <t>Brown Out Voltage</t>
    <phoneticPr fontId="1" type="noConversion"/>
  </si>
  <si>
    <t>sDrv.f32BrownInPU</t>
    <phoneticPr fontId="1" type="noConversion"/>
  </si>
  <si>
    <t>sDrv.f32BrownOutPU</t>
    <phoneticPr fontId="1" type="noConversion"/>
  </si>
  <si>
    <t>Gain Enable</t>
    <phoneticPr fontId="1" type="noConversion"/>
  </si>
  <si>
    <t>sDrv.f32GainEnable</t>
    <phoneticPr fontId="1" type="noConversion"/>
  </si>
  <si>
    <t>sDrv.f32VIgain</t>
    <phoneticPr fontId="1" type="noConversion"/>
  </si>
  <si>
    <t>VI Gain</t>
    <phoneticPr fontId="1" type="noConversion"/>
  </si>
  <si>
    <t>Main Control Status</t>
    <phoneticPr fontId="1" type="noConversion"/>
  </si>
  <si>
    <t>Main Error Status</t>
    <phoneticPr fontId="1" type="noConversion"/>
  </si>
  <si>
    <t>Machine Length</t>
    <phoneticPr fontId="1" type="noConversion"/>
  </si>
  <si>
    <t>User Parameter Length</t>
    <phoneticPr fontId="1" type="noConversion"/>
  </si>
  <si>
    <t>Advance Parameter Length</t>
    <phoneticPr fontId="1" type="noConversion"/>
  </si>
  <si>
    <t>Advance Password</t>
    <phoneticPr fontId="1" type="noConversion"/>
  </si>
  <si>
    <t>Product ID</t>
    <phoneticPr fontId="1" type="noConversion"/>
  </si>
  <si>
    <t>Part ID</t>
    <phoneticPr fontId="1" type="noConversion"/>
  </si>
  <si>
    <t>// 1: PBL</t>
    <phoneticPr fontId="1" type="noConversion"/>
  </si>
  <si>
    <t>// 1: PFC, 2: DAB, 3:BUCK</t>
    <phoneticPr fontId="1" type="noConversion"/>
  </si>
  <si>
    <t>Module ID</t>
    <phoneticPr fontId="1" type="noConversion"/>
  </si>
  <si>
    <t>AdvParams</t>
    <phoneticPr fontId="1" type="noConversion"/>
  </si>
  <si>
    <t>UserParams</t>
    <phoneticPr fontId="1" type="noConversion"/>
  </si>
  <si>
    <t>Serial Number</t>
    <phoneticPr fontId="1" type="noConversion"/>
  </si>
  <si>
    <t>sDrv.u32SN.all</t>
    <phoneticPr fontId="1" type="noConversion"/>
  </si>
  <si>
    <t>Enable Canbus Master</t>
    <phoneticPr fontId="1" type="noConversion"/>
  </si>
  <si>
    <t>sDrv.regMaster.all</t>
    <phoneticPr fontId="1" type="noConversion"/>
  </si>
  <si>
    <t>//Bit0: ON/OFF</t>
    <phoneticPr fontId="1" type="noConversion"/>
  </si>
  <si>
    <t>sDrv.regPwm.u16Remote.all</t>
    <phoneticPr fontId="1" type="noConversion"/>
  </si>
  <si>
    <t>Hardware Slewrate Up</t>
    <phoneticPr fontId="1" type="noConversion"/>
  </si>
  <si>
    <t>Hardware Slewrate Down</t>
    <phoneticPr fontId="1" type="noConversion"/>
  </si>
  <si>
    <t>Main Error Mark</t>
    <phoneticPr fontId="1" type="noConversion"/>
  </si>
  <si>
    <t>Main Error Result</t>
    <phoneticPr fontId="1" type="noConversion"/>
  </si>
  <si>
    <t>sDrv.fgErrorMark.all</t>
    <phoneticPr fontId="1" type="noConversion"/>
  </si>
  <si>
    <t>sDrv.fgErrorResult.all</t>
    <phoneticPr fontId="1" type="noConversion"/>
  </si>
  <si>
    <t>sDrv.tpIsrCost.f32ElapsedUsec</t>
    <phoneticPr fontId="1" type="noConversion"/>
  </si>
  <si>
    <t>sDrv.tpIsrCost.f32MaxElapsedUsec</t>
    <phoneticPr fontId="1" type="noConversion"/>
  </si>
  <si>
    <t>C28 ISR Max Cost Time</t>
    <phoneticPr fontId="1" type="noConversion"/>
  </si>
  <si>
    <t>C28 ISR Cost Time</t>
    <phoneticPr fontId="1" type="noConversion"/>
  </si>
  <si>
    <t>// x100usec</t>
    <phoneticPr fontId="1" type="noConversion"/>
  </si>
  <si>
    <t>sDrv.u16RampUp100usec</t>
    <phoneticPr fontId="1" type="noConversion"/>
  </si>
  <si>
    <t>sDrv.u16RampDown100usec</t>
    <phoneticPr fontId="1" type="noConversion"/>
  </si>
  <si>
    <t>T_SLEWRATE_UP</t>
    <phoneticPr fontId="1" type="noConversion"/>
  </si>
  <si>
    <t>T_SLEWRATE_DOWN</t>
    <phoneticPr fontId="1" type="noConversion"/>
  </si>
  <si>
    <t>sDrv.f32RemoteHwSourceOcp</t>
    <phoneticPr fontId="1" type="noConversion"/>
  </si>
  <si>
    <t>Over Source Current Protection</t>
    <phoneticPr fontId="1" type="noConversion"/>
  </si>
  <si>
    <t>Over Sink Current Protection</t>
    <phoneticPr fontId="1" type="noConversion"/>
  </si>
  <si>
    <t>sDrv.f32RemoteHwSinkOcp</t>
    <phoneticPr fontId="1" type="noConversion"/>
  </si>
  <si>
    <t>Over Voltage Output Protection</t>
    <phoneticPr fontId="1" type="noConversion"/>
  </si>
  <si>
    <t>Over Voltage Input Protection</t>
    <phoneticPr fontId="1" type="noConversion"/>
  </si>
  <si>
    <t>sDrv.f32RemoteHwVinOvp</t>
    <phoneticPr fontId="1" type="noConversion"/>
  </si>
  <si>
    <t>Buck Vout Monitor 1</t>
    <phoneticPr fontId="1" type="noConversion"/>
  </si>
  <si>
    <t>Buck Vout Monitor 2</t>
    <phoneticPr fontId="1" type="noConversion"/>
  </si>
  <si>
    <t>Buck Vout Monitor 3</t>
    <phoneticPr fontId="1" type="noConversion"/>
  </si>
  <si>
    <t>Buck Iout Monitor 1</t>
    <phoneticPr fontId="1" type="noConversion"/>
  </si>
  <si>
    <t>Buck Iout Monitor 2</t>
    <phoneticPr fontId="1" type="noConversion"/>
  </si>
  <si>
    <t>Buck Iout Monitor 3</t>
    <phoneticPr fontId="1" type="noConversion"/>
  </si>
  <si>
    <t>sCbSlave.f32BuckVout[0]</t>
    <phoneticPr fontId="1" type="noConversion"/>
  </si>
  <si>
    <t>sCbSlave.f32BuckVout[1]</t>
  </si>
  <si>
    <t>sCbSlave.f32BuckVout[2]</t>
  </si>
  <si>
    <t>sCbSlave.f32BuckIout[0]</t>
    <phoneticPr fontId="1" type="noConversion"/>
  </si>
  <si>
    <t>sCbSlave.f32BuckIout[1]</t>
  </si>
  <si>
    <t>sCbSlave.f32BuckIout[2]</t>
  </si>
  <si>
    <t>sRmtCal.u16Command.u16All</t>
    <phoneticPr fontId="1" type="noConversion"/>
  </si>
  <si>
    <t>sRmtCal.u16CmdAck.u16All</t>
    <phoneticPr fontId="1" type="noConversion"/>
  </si>
  <si>
    <t>sDrv.sDelayCtrl.u16OnDelayMs</t>
    <phoneticPr fontId="1" type="noConversion"/>
  </si>
  <si>
    <t>sDrv.sDelayCtrl.u16OffDelayMs</t>
    <phoneticPr fontId="1" type="noConversion"/>
  </si>
  <si>
    <t>On Delay Msec</t>
    <phoneticPr fontId="1" type="noConversion"/>
  </si>
  <si>
    <t>Off Delay Msec</t>
    <phoneticPr fontId="1" type="noConversion"/>
  </si>
  <si>
    <t>M0 GD Error Status</t>
    <phoneticPr fontId="1" type="noConversion"/>
  </si>
  <si>
    <t>M0 ADC Error Status</t>
    <phoneticPr fontId="1" type="noConversion"/>
  </si>
  <si>
    <t>sIbSlave.sMirror.u16GDstat.all</t>
    <phoneticPr fontId="1" type="noConversion"/>
  </si>
  <si>
    <t>sIbSlave.sMirror.u16ADCstat.all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</si>
</sst>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4" xfId="0" applyBorder="1">
      <alignment vertical="center"/>
    </xf>
    <xf numFmtId="49" fontId="3" fillId="0" borderId="0" xfId="0" applyNumberFormat="1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49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Border="1">
      <alignment vertical="center"/>
    </xf>
    <xf numFmtId="49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200025</xdr:rowOff>
        </xdr:from>
        <xdr:to>
          <xdr:col>1</xdr:col>
          <xdr:colOff>1590675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dTable"/>
  <dimension ref="A1:J90"/>
  <sheetViews>
    <sheetView tabSelected="1" zoomScaleNormal="100" workbookViewId="0">
      <selection activeCell="B40" sqref="B40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4" width="14.375" style="1" customWidth="1"/>
    <col min="5" max="5" width="16.625" style="1" bestFit="1" customWidth="1"/>
    <col min="6" max="6" width="9" style="6"/>
    <col min="7" max="7" width="31.125" bestFit="1" customWidth="1"/>
    <col min="8" max="8" width="13.75" style="8" bestFit="1" customWidth="1"/>
    <col min="9" max="9" width="14.625" style="8" customWidth="1"/>
    <col min="10" max="10" width="30" bestFit="1" customWidth="1"/>
  </cols>
  <sheetData>
    <row r="1" spans="1:10" ht="73.5" customHeight="1" x14ac:dyDescent="0.25"/>
    <row r="2" spans="1:10" s="3" customFormat="1" ht="17.25" thickBot="1" x14ac:dyDescent="0.3">
      <c r="A2" s="3" t="s">
        <v>2</v>
      </c>
      <c r="B2" s="3" t="s">
        <v>3</v>
      </c>
      <c r="C2" s="4" t="s">
        <v>5</v>
      </c>
      <c r="D2" s="4" t="s">
        <v>4</v>
      </c>
      <c r="E2" s="4" t="s">
        <v>33</v>
      </c>
      <c r="F2" s="6" t="s">
        <v>1</v>
      </c>
      <c r="G2" s="5" t="s">
        <v>16</v>
      </c>
      <c r="H2" s="5" t="s">
        <v>44</v>
      </c>
      <c r="I2" s="5" t="s">
        <v>45</v>
      </c>
      <c r="J2" s="3" t="s">
        <v>0</v>
      </c>
    </row>
    <row r="3" spans="1:10" x14ac:dyDescent="0.25">
      <c r="A3" s="9">
        <v>0</v>
      </c>
      <c r="B3" s="10" t="s">
        <v>34</v>
      </c>
      <c r="C3" s="11" t="s">
        <v>9</v>
      </c>
      <c r="D3" s="12">
        <v>1</v>
      </c>
      <c r="E3" s="13">
        <f>E11</f>
        <v>2423</v>
      </c>
      <c r="F3" s="6">
        <v>0</v>
      </c>
    </row>
    <row r="4" spans="1:10" x14ac:dyDescent="0.25">
      <c r="A4" s="14"/>
      <c r="B4" t="s">
        <v>35</v>
      </c>
      <c r="C4" s="15" t="s">
        <v>9</v>
      </c>
      <c r="D4" s="7">
        <v>1</v>
      </c>
      <c r="E4" s="16">
        <v>4</v>
      </c>
      <c r="F4" s="6">
        <v>1</v>
      </c>
    </row>
    <row r="5" spans="1:10" x14ac:dyDescent="0.25">
      <c r="A5" s="14"/>
      <c r="B5" t="s">
        <v>38</v>
      </c>
      <c r="C5" s="15" t="s">
        <v>9</v>
      </c>
      <c r="D5" s="7">
        <v>1</v>
      </c>
      <c r="E5" s="16">
        <f>F9</f>
        <v>6</v>
      </c>
      <c r="F5" s="6">
        <v>2</v>
      </c>
    </row>
    <row r="6" spans="1:10" x14ac:dyDescent="0.25">
      <c r="A6" s="14"/>
      <c r="B6" t="s">
        <v>36</v>
      </c>
      <c r="C6" s="15" t="s">
        <v>9</v>
      </c>
      <c r="D6" s="7">
        <v>1</v>
      </c>
      <c r="E6" s="16">
        <f>F9+E9</f>
        <v>16</v>
      </c>
      <c r="F6" s="6">
        <v>3</v>
      </c>
    </row>
    <row r="7" spans="1:10" x14ac:dyDescent="0.25">
      <c r="A7" s="14"/>
      <c r="B7" t="s">
        <v>37</v>
      </c>
      <c r="C7" s="15" t="s">
        <v>9</v>
      </c>
      <c r="D7" s="7">
        <v>1</v>
      </c>
      <c r="E7" s="16">
        <f>F18+E18</f>
        <v>36</v>
      </c>
      <c r="F7" s="6">
        <v>4</v>
      </c>
    </row>
    <row r="8" spans="1:10" ht="17.25" thickBot="1" x14ac:dyDescent="0.3">
      <c r="A8" s="17"/>
      <c r="B8" s="18" t="s">
        <v>39</v>
      </c>
      <c r="C8" s="19" t="s">
        <v>9</v>
      </c>
      <c r="D8" s="20">
        <v>1</v>
      </c>
      <c r="E8" s="21">
        <f>SUM(E3:E7)</f>
        <v>2485</v>
      </c>
      <c r="F8" s="6">
        <v>5</v>
      </c>
    </row>
    <row r="9" spans="1:10" x14ac:dyDescent="0.25">
      <c r="A9" s="9"/>
      <c r="B9" s="10" t="s">
        <v>96</v>
      </c>
      <c r="C9" s="11" t="s">
        <v>9</v>
      </c>
      <c r="D9" s="12">
        <v>1</v>
      </c>
      <c r="E9" s="13">
        <f>SUM(D9:D17)</f>
        <v>10</v>
      </c>
      <c r="F9" s="6">
        <v>6</v>
      </c>
    </row>
    <row r="10" spans="1:10" x14ac:dyDescent="0.25">
      <c r="A10" s="14"/>
      <c r="B10" t="s">
        <v>40</v>
      </c>
      <c r="C10" s="15" t="s">
        <v>8</v>
      </c>
      <c r="D10" s="7">
        <v>1</v>
      </c>
      <c r="E10" s="16">
        <v>886</v>
      </c>
      <c r="F10" s="6">
        <v>7</v>
      </c>
    </row>
    <row r="11" spans="1:10" x14ac:dyDescent="0.25">
      <c r="A11" s="14"/>
      <c r="B11" t="s">
        <v>41</v>
      </c>
      <c r="C11" s="15" t="s">
        <v>8</v>
      </c>
      <c r="D11" s="7">
        <v>1</v>
      </c>
      <c r="E11" s="16">
        <v>2423</v>
      </c>
      <c r="F11" s="6">
        <v>8</v>
      </c>
    </row>
    <row r="12" spans="1:10" x14ac:dyDescent="0.25">
      <c r="A12" s="14"/>
      <c r="B12" t="s">
        <v>100</v>
      </c>
      <c r="C12" s="15" t="s">
        <v>8</v>
      </c>
      <c r="D12" s="7">
        <v>1</v>
      </c>
      <c r="E12" s="16">
        <v>1</v>
      </c>
      <c r="F12" s="6">
        <v>9</v>
      </c>
      <c r="J12" t="s">
        <v>102</v>
      </c>
    </row>
    <row r="13" spans="1:10" x14ac:dyDescent="0.25">
      <c r="A13" s="14"/>
      <c r="B13" t="s">
        <v>101</v>
      </c>
      <c r="C13" s="15" t="s">
        <v>8</v>
      </c>
      <c r="D13" s="7">
        <v>1</v>
      </c>
      <c r="E13" s="16">
        <v>3</v>
      </c>
      <c r="F13" s="6">
        <v>10</v>
      </c>
      <c r="J13" t="s">
        <v>103</v>
      </c>
    </row>
    <row r="14" spans="1:10" x14ac:dyDescent="0.25">
      <c r="A14" s="14"/>
      <c r="B14" t="s">
        <v>104</v>
      </c>
      <c r="C14" s="15" t="s">
        <v>8</v>
      </c>
      <c r="D14" s="7">
        <v>1</v>
      </c>
      <c r="E14" s="16">
        <v>0</v>
      </c>
      <c r="F14" s="6">
        <v>11</v>
      </c>
    </row>
    <row r="15" spans="1:10" x14ac:dyDescent="0.25">
      <c r="A15" s="14"/>
      <c r="B15" t="s">
        <v>107</v>
      </c>
      <c r="C15" s="15" t="s">
        <v>42</v>
      </c>
      <c r="D15" s="7">
        <v>2</v>
      </c>
      <c r="E15" s="16">
        <v>0</v>
      </c>
      <c r="F15" s="6">
        <v>12</v>
      </c>
      <c r="G15" t="s">
        <v>108</v>
      </c>
    </row>
    <row r="16" spans="1:10" x14ac:dyDescent="0.25">
      <c r="A16" s="14"/>
      <c r="B16" t="s">
        <v>69</v>
      </c>
      <c r="C16" s="15" t="s">
        <v>8</v>
      </c>
      <c r="D16" s="7">
        <v>1</v>
      </c>
      <c r="E16" s="16" t="s">
        <v>70</v>
      </c>
      <c r="F16" s="6">
        <v>14</v>
      </c>
    </row>
    <row r="17" spans="1:10" ht="17.25" thickBot="1" x14ac:dyDescent="0.3">
      <c r="A17" s="17"/>
      <c r="B17" s="18" t="s">
        <v>43</v>
      </c>
      <c r="C17" s="19" t="s">
        <v>8</v>
      </c>
      <c r="D17" s="20">
        <v>1</v>
      </c>
      <c r="E17" s="21" t="s">
        <v>71</v>
      </c>
      <c r="F17" s="6">
        <v>15</v>
      </c>
    </row>
    <row r="18" spans="1:10" x14ac:dyDescent="0.25">
      <c r="A18" s="9"/>
      <c r="B18" s="10" t="s">
        <v>97</v>
      </c>
      <c r="C18" s="11" t="s">
        <v>9</v>
      </c>
      <c r="D18" s="12">
        <v>1</v>
      </c>
      <c r="E18" s="13">
        <f>SUM(D18:D37)</f>
        <v>20</v>
      </c>
      <c r="F18" s="6">
        <v>16</v>
      </c>
    </row>
    <row r="19" spans="1:10" x14ac:dyDescent="0.25">
      <c r="A19" s="14"/>
      <c r="B19" t="s">
        <v>94</v>
      </c>
      <c r="C19" s="15" t="s">
        <v>9</v>
      </c>
      <c r="D19" s="7">
        <v>1</v>
      </c>
      <c r="E19" s="16"/>
      <c r="F19" s="5">
        <v>17</v>
      </c>
      <c r="G19" t="s">
        <v>52</v>
      </c>
    </row>
    <row r="20" spans="1:10" x14ac:dyDescent="0.25">
      <c r="A20" s="14"/>
      <c r="B20" t="s">
        <v>95</v>
      </c>
      <c r="C20" s="15" t="s">
        <v>9</v>
      </c>
      <c r="D20" s="7">
        <v>1</v>
      </c>
      <c r="E20" s="16"/>
      <c r="F20" s="5">
        <v>18</v>
      </c>
      <c r="G20" t="s">
        <v>53</v>
      </c>
    </row>
    <row r="21" spans="1:10" x14ac:dyDescent="0.25">
      <c r="A21" s="14"/>
      <c r="B21" t="s">
        <v>115</v>
      </c>
      <c r="C21" s="15" t="s">
        <v>9</v>
      </c>
      <c r="D21" s="7">
        <v>1</v>
      </c>
      <c r="E21" s="16"/>
      <c r="F21" s="5">
        <v>19</v>
      </c>
      <c r="G21" t="s">
        <v>117</v>
      </c>
    </row>
    <row r="22" spans="1:10" x14ac:dyDescent="0.25">
      <c r="A22" s="14"/>
      <c r="B22" t="s">
        <v>116</v>
      </c>
      <c r="C22" s="15" t="s">
        <v>9</v>
      </c>
      <c r="D22" s="7">
        <v>1</v>
      </c>
      <c r="E22" s="16"/>
      <c r="F22" s="5">
        <v>20</v>
      </c>
      <c r="G22" t="s">
        <v>118</v>
      </c>
    </row>
    <row r="23" spans="1:10" x14ac:dyDescent="0.25">
      <c r="A23" s="14"/>
      <c r="B23" t="s">
        <v>153</v>
      </c>
      <c r="C23" s="15" t="s">
        <v>9</v>
      </c>
      <c r="D23" s="7">
        <v>1</v>
      </c>
      <c r="E23" s="16"/>
      <c r="F23" s="5">
        <v>21</v>
      </c>
      <c r="G23" t="s">
        <v>155</v>
      </c>
    </row>
    <row r="24" spans="1:10" x14ac:dyDescent="0.25">
      <c r="A24" s="14"/>
      <c r="B24" t="s">
        <v>154</v>
      </c>
      <c r="C24" s="15" t="s">
        <v>9</v>
      </c>
      <c r="D24" s="7">
        <v>1</v>
      </c>
      <c r="E24" s="16"/>
      <c r="F24" s="5">
        <v>22</v>
      </c>
      <c r="G24" t="s">
        <v>156</v>
      </c>
    </row>
    <row r="25" spans="1:10" x14ac:dyDescent="0.25">
      <c r="A25" s="14"/>
      <c r="B25" t="s">
        <v>25</v>
      </c>
      <c r="C25" s="15" t="s">
        <v>9</v>
      </c>
      <c r="D25" s="7">
        <v>1</v>
      </c>
      <c r="E25" s="16"/>
      <c r="F25" s="6">
        <v>23</v>
      </c>
      <c r="G25" t="s">
        <v>112</v>
      </c>
      <c r="J25" t="s">
        <v>111</v>
      </c>
    </row>
    <row r="26" spans="1:10" x14ac:dyDescent="0.25">
      <c r="A26" s="14"/>
      <c r="B26" t="s">
        <v>17</v>
      </c>
      <c r="C26" s="15" t="s">
        <v>26</v>
      </c>
      <c r="D26" s="7">
        <v>1</v>
      </c>
      <c r="E26" s="16">
        <v>0</v>
      </c>
      <c r="F26" s="6">
        <v>24</v>
      </c>
      <c r="G26" t="s">
        <v>51</v>
      </c>
      <c r="H26" s="8">
        <v>84.052999999999997</v>
      </c>
    </row>
    <row r="27" spans="1:10" x14ac:dyDescent="0.25">
      <c r="A27" s="14"/>
      <c r="B27" t="s">
        <v>47</v>
      </c>
      <c r="C27" s="15" t="s">
        <v>26</v>
      </c>
      <c r="D27" s="7">
        <v>1</v>
      </c>
      <c r="E27" s="16"/>
      <c r="F27" s="6">
        <v>25</v>
      </c>
      <c r="G27" t="s">
        <v>66</v>
      </c>
      <c r="H27" s="8">
        <v>42.874000000000002</v>
      </c>
      <c r="I27" s="8" t="s">
        <v>106</v>
      </c>
    </row>
    <row r="28" spans="1:10" ht="15.75" customHeight="1" x14ac:dyDescent="0.25">
      <c r="A28" s="14"/>
      <c r="B28" t="s">
        <v>48</v>
      </c>
      <c r="C28" s="15" t="s">
        <v>26</v>
      </c>
      <c r="D28" s="7">
        <v>1</v>
      </c>
      <c r="E28" s="16"/>
      <c r="F28" s="6">
        <v>26</v>
      </c>
      <c r="G28" t="s">
        <v>67</v>
      </c>
      <c r="H28" s="8">
        <v>42.874000000000002</v>
      </c>
      <c r="I28" s="8" t="s">
        <v>106</v>
      </c>
    </row>
    <row r="29" spans="1:10" x14ac:dyDescent="0.25">
      <c r="A29" s="14"/>
      <c r="B29" t="s">
        <v>129</v>
      </c>
      <c r="C29" s="15" t="s">
        <v>26</v>
      </c>
      <c r="D29" s="7">
        <v>1</v>
      </c>
      <c r="E29" s="16"/>
      <c r="F29" s="6">
        <v>27</v>
      </c>
      <c r="G29" t="s">
        <v>128</v>
      </c>
      <c r="H29" s="8">
        <v>42.874000000000002</v>
      </c>
      <c r="I29" s="8" t="s">
        <v>106</v>
      </c>
    </row>
    <row r="30" spans="1:10" x14ac:dyDescent="0.25">
      <c r="A30" s="14"/>
      <c r="B30" t="s">
        <v>130</v>
      </c>
      <c r="C30" s="15" t="s">
        <v>26</v>
      </c>
      <c r="D30" s="7">
        <v>1</v>
      </c>
      <c r="E30" s="16"/>
      <c r="F30" s="6">
        <v>28</v>
      </c>
      <c r="G30" t="s">
        <v>131</v>
      </c>
      <c r="H30" s="8">
        <v>42.874000000000002</v>
      </c>
      <c r="I30" s="8" t="s">
        <v>106</v>
      </c>
    </row>
    <row r="31" spans="1:10" x14ac:dyDescent="0.25">
      <c r="A31" s="14"/>
      <c r="B31" t="s">
        <v>132</v>
      </c>
      <c r="C31" s="15" t="s">
        <v>26</v>
      </c>
      <c r="D31" s="7">
        <v>1</v>
      </c>
      <c r="E31" s="16"/>
      <c r="F31" s="6">
        <v>29</v>
      </c>
      <c r="G31" t="s">
        <v>68</v>
      </c>
      <c r="H31" s="8">
        <v>84.052999999999997</v>
      </c>
      <c r="I31" s="8" t="s">
        <v>106</v>
      </c>
    </row>
    <row r="32" spans="1:10" x14ac:dyDescent="0.25">
      <c r="A32" s="14"/>
      <c r="B32" t="s">
        <v>133</v>
      </c>
      <c r="C32" s="15" t="s">
        <v>26</v>
      </c>
      <c r="D32" s="7">
        <v>1</v>
      </c>
      <c r="E32" s="16"/>
      <c r="F32" s="6">
        <v>30</v>
      </c>
      <c r="G32" t="s">
        <v>134</v>
      </c>
      <c r="H32" s="8">
        <v>120.458</v>
      </c>
      <c r="I32" s="8" t="s">
        <v>106</v>
      </c>
    </row>
    <row r="33" spans="1:10" x14ac:dyDescent="0.25">
      <c r="A33" s="14"/>
      <c r="B33" t="s">
        <v>32</v>
      </c>
      <c r="C33" s="15" t="s">
        <v>26</v>
      </c>
      <c r="D33" s="7">
        <v>1</v>
      </c>
      <c r="E33" s="16"/>
      <c r="F33" s="6">
        <v>31</v>
      </c>
      <c r="H33" s="8">
        <v>100</v>
      </c>
    </row>
    <row r="34" spans="1:10" x14ac:dyDescent="0.25">
      <c r="A34" s="14"/>
      <c r="B34" t="s">
        <v>18</v>
      </c>
      <c r="C34" s="15" t="s">
        <v>26</v>
      </c>
      <c r="D34" s="7">
        <v>1</v>
      </c>
      <c r="E34" s="16"/>
      <c r="F34" s="6">
        <v>32</v>
      </c>
      <c r="G34" t="s">
        <v>54</v>
      </c>
      <c r="H34" s="8">
        <v>84.052999999999997</v>
      </c>
    </row>
    <row r="35" spans="1:10" x14ac:dyDescent="0.25">
      <c r="A35" s="14"/>
      <c r="B35" t="s">
        <v>19</v>
      </c>
      <c r="C35" s="15" t="s">
        <v>26</v>
      </c>
      <c r="D35" s="7">
        <v>1</v>
      </c>
      <c r="E35" s="16"/>
      <c r="F35" s="6">
        <v>33</v>
      </c>
      <c r="G35" t="s">
        <v>55</v>
      </c>
      <c r="H35" s="8">
        <v>120.458</v>
      </c>
    </row>
    <row r="36" spans="1:10" x14ac:dyDescent="0.25">
      <c r="A36" s="14"/>
      <c r="B36" t="s">
        <v>20</v>
      </c>
      <c r="C36" s="15" t="s">
        <v>26</v>
      </c>
      <c r="D36" s="7">
        <v>1</v>
      </c>
      <c r="E36" s="16"/>
      <c r="F36" s="6">
        <v>34</v>
      </c>
      <c r="G36" t="s">
        <v>56</v>
      </c>
      <c r="H36" s="8">
        <v>42.874000000000002</v>
      </c>
    </row>
    <row r="37" spans="1:10" ht="17.25" thickBot="1" x14ac:dyDescent="0.3">
      <c r="A37" s="17"/>
      <c r="B37" s="18" t="s">
        <v>46</v>
      </c>
      <c r="C37" s="19" t="s">
        <v>26</v>
      </c>
      <c r="D37" s="20">
        <v>1</v>
      </c>
      <c r="E37" s="21"/>
      <c r="F37" s="6">
        <v>35</v>
      </c>
      <c r="G37" t="s">
        <v>57</v>
      </c>
      <c r="H37" s="8">
        <v>42.874000000000002</v>
      </c>
    </row>
    <row r="38" spans="1:10" x14ac:dyDescent="0.25">
      <c r="A38" s="9"/>
      <c r="B38" s="10" t="s">
        <v>98</v>
      </c>
      <c r="C38" s="11" t="s">
        <v>9</v>
      </c>
      <c r="D38" s="12">
        <v>1</v>
      </c>
      <c r="E38" s="13">
        <f>SUM(D38:D70)</f>
        <v>48</v>
      </c>
      <c r="F38" s="6">
        <v>36</v>
      </c>
    </row>
    <row r="39" spans="1:10" x14ac:dyDescent="0.25">
      <c r="A39" s="14"/>
      <c r="B39" s="22" t="s">
        <v>99</v>
      </c>
      <c r="C39" s="23" t="s">
        <v>9</v>
      </c>
      <c r="D39" s="24">
        <v>1</v>
      </c>
      <c r="E39" s="16">
        <v>0</v>
      </c>
      <c r="F39" s="6">
        <v>37</v>
      </c>
    </row>
    <row r="40" spans="1:10" x14ac:dyDescent="0.25">
      <c r="A40" s="14"/>
      <c r="B40" s="22" t="s">
        <v>21</v>
      </c>
      <c r="C40" s="23" t="s">
        <v>28</v>
      </c>
      <c r="D40" s="24">
        <v>2</v>
      </c>
      <c r="E40" s="16"/>
      <c r="F40" s="6">
        <v>38</v>
      </c>
      <c r="G40" t="s">
        <v>58</v>
      </c>
      <c r="I40" s="8" t="s">
        <v>105</v>
      </c>
    </row>
    <row r="41" spans="1:10" x14ac:dyDescent="0.25">
      <c r="A41" s="14"/>
      <c r="B41" s="22" t="s">
        <v>22</v>
      </c>
      <c r="C41" s="23" t="s">
        <v>28</v>
      </c>
      <c r="D41" s="24">
        <v>2</v>
      </c>
      <c r="E41" s="16"/>
      <c r="F41" s="6">
        <v>40</v>
      </c>
      <c r="G41" t="s">
        <v>59</v>
      </c>
      <c r="I41" s="8" t="s">
        <v>105</v>
      </c>
    </row>
    <row r="42" spans="1:10" x14ac:dyDescent="0.25">
      <c r="A42" s="14"/>
      <c r="B42" s="22" t="s">
        <v>23</v>
      </c>
      <c r="C42" s="23" t="s">
        <v>28</v>
      </c>
      <c r="D42" s="24">
        <v>2</v>
      </c>
      <c r="E42" s="16"/>
      <c r="F42" s="6">
        <v>42</v>
      </c>
      <c r="G42" t="s">
        <v>60</v>
      </c>
      <c r="I42" s="8" t="s">
        <v>105</v>
      </c>
    </row>
    <row r="43" spans="1:10" x14ac:dyDescent="0.25">
      <c r="A43" s="14"/>
      <c r="B43" s="22" t="s">
        <v>24</v>
      </c>
      <c r="C43" s="23" t="s">
        <v>28</v>
      </c>
      <c r="D43" s="24">
        <v>2</v>
      </c>
      <c r="E43" s="16"/>
      <c r="F43" s="6">
        <v>44</v>
      </c>
      <c r="G43" t="s">
        <v>61</v>
      </c>
      <c r="I43" s="8" t="s">
        <v>105</v>
      </c>
    </row>
    <row r="44" spans="1:10" x14ac:dyDescent="0.25">
      <c r="A44" s="14"/>
      <c r="B44" s="22" t="s">
        <v>62</v>
      </c>
      <c r="C44" s="23" t="s">
        <v>12</v>
      </c>
      <c r="D44" s="24">
        <v>2</v>
      </c>
      <c r="E44" s="16"/>
      <c r="F44" s="6">
        <v>46</v>
      </c>
      <c r="G44" t="s">
        <v>63</v>
      </c>
      <c r="I44" s="8" t="s">
        <v>105</v>
      </c>
    </row>
    <row r="45" spans="1:10" x14ac:dyDescent="0.25">
      <c r="A45" s="14"/>
      <c r="B45" s="22" t="s">
        <v>49</v>
      </c>
      <c r="C45" s="23" t="s">
        <v>42</v>
      </c>
      <c r="D45" s="24">
        <v>2</v>
      </c>
      <c r="E45" s="16"/>
      <c r="F45" s="6">
        <v>48</v>
      </c>
      <c r="G45" t="s">
        <v>64</v>
      </c>
    </row>
    <row r="46" spans="1:10" x14ac:dyDescent="0.25">
      <c r="A46" s="14"/>
      <c r="B46" s="22" t="s">
        <v>50</v>
      </c>
      <c r="C46" s="23" t="s">
        <v>42</v>
      </c>
      <c r="D46" s="24">
        <v>2</v>
      </c>
      <c r="E46" s="16"/>
      <c r="F46" s="6">
        <v>50</v>
      </c>
      <c r="G46" t="s">
        <v>65</v>
      </c>
    </row>
    <row r="47" spans="1:10" x14ac:dyDescent="0.25">
      <c r="A47" s="14"/>
      <c r="B47" s="22" t="s">
        <v>78</v>
      </c>
      <c r="C47" s="23" t="s">
        <v>42</v>
      </c>
      <c r="D47" s="24">
        <v>2</v>
      </c>
      <c r="E47" s="16"/>
      <c r="F47" s="6">
        <v>52</v>
      </c>
      <c r="G47" t="s">
        <v>79</v>
      </c>
      <c r="J47" t="s">
        <v>81</v>
      </c>
    </row>
    <row r="48" spans="1:10" x14ac:dyDescent="0.25">
      <c r="A48" s="14"/>
      <c r="B48" s="22" t="s">
        <v>113</v>
      </c>
      <c r="C48" s="23" t="s">
        <v>8</v>
      </c>
      <c r="D48" s="24">
        <v>1</v>
      </c>
      <c r="E48" s="16" t="s">
        <v>126</v>
      </c>
      <c r="F48" s="6">
        <v>54</v>
      </c>
      <c r="G48" t="s">
        <v>124</v>
      </c>
      <c r="J48" t="s">
        <v>123</v>
      </c>
    </row>
    <row r="49" spans="1:10" x14ac:dyDescent="0.25">
      <c r="A49" s="14"/>
      <c r="B49" s="22" t="s">
        <v>114</v>
      </c>
      <c r="C49" s="23" t="s">
        <v>8</v>
      </c>
      <c r="D49" s="24">
        <v>1</v>
      </c>
      <c r="E49" s="16" t="s">
        <v>127</v>
      </c>
      <c r="F49" s="6">
        <v>55</v>
      </c>
      <c r="G49" t="s">
        <v>125</v>
      </c>
      <c r="J49" t="s">
        <v>123</v>
      </c>
    </row>
    <row r="50" spans="1:10" x14ac:dyDescent="0.25">
      <c r="A50" s="14"/>
      <c r="B50" s="22" t="s">
        <v>72</v>
      </c>
      <c r="C50" s="23" t="s">
        <v>8</v>
      </c>
      <c r="D50" s="24">
        <v>1</v>
      </c>
      <c r="E50" s="16"/>
      <c r="F50" s="6">
        <v>56</v>
      </c>
      <c r="G50" t="s">
        <v>147</v>
      </c>
      <c r="J50" t="s">
        <v>80</v>
      </c>
    </row>
    <row r="51" spans="1:10" x14ac:dyDescent="0.25">
      <c r="A51" s="14"/>
      <c r="B51" s="22" t="s">
        <v>73</v>
      </c>
      <c r="C51" s="23" t="s">
        <v>8</v>
      </c>
      <c r="D51" s="24">
        <v>1</v>
      </c>
      <c r="E51" s="16"/>
      <c r="F51" s="6">
        <v>57</v>
      </c>
      <c r="G51" t="s">
        <v>148</v>
      </c>
    </row>
    <row r="52" spans="1:10" x14ac:dyDescent="0.25">
      <c r="A52" s="14"/>
      <c r="B52" s="22" t="s">
        <v>74</v>
      </c>
      <c r="C52" s="23" t="s">
        <v>12</v>
      </c>
      <c r="D52" s="24">
        <v>2</v>
      </c>
      <c r="E52" s="16"/>
      <c r="F52" s="6">
        <v>58</v>
      </c>
      <c r="G52" t="s">
        <v>76</v>
      </c>
    </row>
    <row r="53" spans="1:10" x14ac:dyDescent="0.25">
      <c r="A53" s="14"/>
      <c r="B53" s="22" t="s">
        <v>75</v>
      </c>
      <c r="C53" s="23" t="s">
        <v>12</v>
      </c>
      <c r="D53" s="24">
        <v>2</v>
      </c>
      <c r="E53" s="16"/>
      <c r="F53" s="6">
        <v>60</v>
      </c>
      <c r="G53" t="s">
        <v>77</v>
      </c>
    </row>
    <row r="54" spans="1:10" x14ac:dyDescent="0.25">
      <c r="A54" s="14"/>
      <c r="B54" s="22" t="s">
        <v>82</v>
      </c>
      <c r="C54" s="23" t="s">
        <v>8</v>
      </c>
      <c r="D54" s="24">
        <v>1</v>
      </c>
      <c r="E54" s="16"/>
      <c r="F54" s="6">
        <v>62</v>
      </c>
      <c r="G54" t="s">
        <v>84</v>
      </c>
    </row>
    <row r="55" spans="1:10" x14ac:dyDescent="0.25">
      <c r="A55" s="14"/>
      <c r="B55" s="22" t="s">
        <v>83</v>
      </c>
      <c r="C55" s="23" t="s">
        <v>8</v>
      </c>
      <c r="D55" s="24">
        <v>1</v>
      </c>
      <c r="E55" s="16"/>
      <c r="F55" s="6">
        <v>63</v>
      </c>
      <c r="G55" t="s">
        <v>85</v>
      </c>
    </row>
    <row r="56" spans="1:10" x14ac:dyDescent="0.25">
      <c r="A56" s="14"/>
      <c r="B56" s="22" t="s">
        <v>86</v>
      </c>
      <c r="C56" s="23" t="s">
        <v>26</v>
      </c>
      <c r="D56" s="24">
        <v>1</v>
      </c>
      <c r="E56" s="16"/>
      <c r="F56" s="6">
        <v>64</v>
      </c>
      <c r="G56" t="s">
        <v>88</v>
      </c>
      <c r="H56" s="8">
        <v>120.458</v>
      </c>
    </row>
    <row r="57" spans="1:10" x14ac:dyDescent="0.25">
      <c r="A57" s="14"/>
      <c r="B57" s="22" t="s">
        <v>87</v>
      </c>
      <c r="C57" s="23" t="s">
        <v>26</v>
      </c>
      <c r="D57" s="24">
        <v>1</v>
      </c>
      <c r="E57" s="16"/>
      <c r="F57" s="6">
        <v>65</v>
      </c>
      <c r="G57" t="s">
        <v>89</v>
      </c>
      <c r="H57" s="8">
        <v>120.458</v>
      </c>
    </row>
    <row r="58" spans="1:10" x14ac:dyDescent="0.25">
      <c r="A58" s="14"/>
      <c r="B58" s="22" t="s">
        <v>90</v>
      </c>
      <c r="C58" s="23" t="s">
        <v>12</v>
      </c>
      <c r="D58" s="24">
        <v>2</v>
      </c>
      <c r="E58" s="16"/>
      <c r="F58" s="6">
        <v>66</v>
      </c>
      <c r="G58" t="s">
        <v>91</v>
      </c>
    </row>
    <row r="59" spans="1:10" x14ac:dyDescent="0.25">
      <c r="A59" s="14"/>
      <c r="B59" s="22" t="s">
        <v>93</v>
      </c>
      <c r="C59" s="23" t="s">
        <v>12</v>
      </c>
      <c r="D59" s="24">
        <v>2</v>
      </c>
      <c r="E59" s="16"/>
      <c r="F59" s="6">
        <v>68</v>
      </c>
      <c r="G59" t="s">
        <v>92</v>
      </c>
    </row>
    <row r="60" spans="1:10" x14ac:dyDescent="0.25">
      <c r="A60" s="14"/>
      <c r="B60" s="22" t="s">
        <v>109</v>
      </c>
      <c r="C60" s="23" t="s">
        <v>42</v>
      </c>
      <c r="D60" s="24">
        <v>2</v>
      </c>
      <c r="E60" s="16"/>
      <c r="F60" s="6">
        <v>70</v>
      </c>
      <c r="G60" t="s">
        <v>110</v>
      </c>
    </row>
    <row r="61" spans="1:10" x14ac:dyDescent="0.25">
      <c r="A61" s="14"/>
      <c r="B61" s="22" t="s">
        <v>122</v>
      </c>
      <c r="C61" s="23" t="s">
        <v>12</v>
      </c>
      <c r="D61" s="24">
        <v>2</v>
      </c>
      <c r="E61" s="16"/>
      <c r="F61" s="6">
        <v>72</v>
      </c>
      <c r="G61" t="s">
        <v>119</v>
      </c>
    </row>
    <row r="62" spans="1:10" x14ac:dyDescent="0.25">
      <c r="A62" s="14"/>
      <c r="B62" s="22" t="s">
        <v>121</v>
      </c>
      <c r="C62" s="23" t="s">
        <v>12</v>
      </c>
      <c r="D62" s="24">
        <v>2</v>
      </c>
      <c r="E62" s="16"/>
      <c r="F62" s="6">
        <v>74</v>
      </c>
      <c r="G62" t="s">
        <v>120</v>
      </c>
    </row>
    <row r="63" spans="1:10" x14ac:dyDescent="0.25">
      <c r="A63" s="14"/>
      <c r="B63" s="22" t="s">
        <v>135</v>
      </c>
      <c r="C63" s="23" t="s">
        <v>26</v>
      </c>
      <c r="D63" s="24">
        <v>1</v>
      </c>
      <c r="E63" s="16"/>
      <c r="F63" s="6">
        <v>76</v>
      </c>
      <c r="G63" t="s">
        <v>141</v>
      </c>
      <c r="H63" s="8">
        <v>84.052999999999997</v>
      </c>
    </row>
    <row r="64" spans="1:10" x14ac:dyDescent="0.25">
      <c r="A64" s="14"/>
      <c r="B64" s="22" t="s">
        <v>136</v>
      </c>
      <c r="C64" s="23" t="s">
        <v>26</v>
      </c>
      <c r="D64" s="24">
        <v>1</v>
      </c>
      <c r="E64" s="16"/>
      <c r="F64" s="6">
        <v>77</v>
      </c>
      <c r="G64" t="s">
        <v>142</v>
      </c>
      <c r="H64" s="8">
        <v>84.052999999999997</v>
      </c>
    </row>
    <row r="65" spans="1:8" x14ac:dyDescent="0.25">
      <c r="A65" s="14"/>
      <c r="B65" s="22" t="s">
        <v>137</v>
      </c>
      <c r="C65" s="23" t="s">
        <v>26</v>
      </c>
      <c r="D65" s="24">
        <v>1</v>
      </c>
      <c r="E65" s="16"/>
      <c r="F65" s="6">
        <v>78</v>
      </c>
      <c r="G65" t="s">
        <v>143</v>
      </c>
      <c r="H65" s="8">
        <v>84.052999999999997</v>
      </c>
    </row>
    <row r="66" spans="1:8" x14ac:dyDescent="0.25">
      <c r="A66" s="14"/>
      <c r="B66" s="22" t="s">
        <v>138</v>
      </c>
      <c r="C66" s="23" t="s">
        <v>26</v>
      </c>
      <c r="D66" s="24">
        <v>1</v>
      </c>
      <c r="E66" s="16"/>
      <c r="F66" s="6">
        <v>79</v>
      </c>
      <c r="G66" t="s">
        <v>144</v>
      </c>
      <c r="H66" s="8">
        <v>42.874000000000002</v>
      </c>
    </row>
    <row r="67" spans="1:8" x14ac:dyDescent="0.25">
      <c r="A67" s="14"/>
      <c r="B67" s="22" t="s">
        <v>139</v>
      </c>
      <c r="C67" s="23" t="s">
        <v>26</v>
      </c>
      <c r="D67" s="24">
        <v>1</v>
      </c>
      <c r="E67" s="16"/>
      <c r="F67" s="6">
        <v>80</v>
      </c>
      <c r="G67" t="s">
        <v>145</v>
      </c>
      <c r="H67" s="8">
        <v>42.874000000000002</v>
      </c>
    </row>
    <row r="68" spans="1:8" x14ac:dyDescent="0.25">
      <c r="A68" s="14"/>
      <c r="B68" s="22" t="s">
        <v>140</v>
      </c>
      <c r="C68" s="23" t="s">
        <v>26</v>
      </c>
      <c r="D68" s="24">
        <v>1</v>
      </c>
      <c r="E68" s="16"/>
      <c r="F68" s="6">
        <v>81</v>
      </c>
      <c r="G68" t="s">
        <v>146</v>
      </c>
      <c r="H68" s="8">
        <v>42.874000000000002</v>
      </c>
    </row>
    <row r="69" spans="1:8" x14ac:dyDescent="0.25">
      <c r="A69" s="14"/>
      <c r="B69" s="22" t="s">
        <v>151</v>
      </c>
      <c r="C69" s="23" t="s">
        <v>8</v>
      </c>
      <c r="D69" s="24">
        <v>1</v>
      </c>
      <c r="E69" s="16"/>
      <c r="F69" s="6">
        <v>82</v>
      </c>
      <c r="G69" t="s">
        <v>149</v>
      </c>
    </row>
    <row r="70" spans="1:8" ht="17.25" thickBot="1" x14ac:dyDescent="0.3">
      <c r="A70" s="17"/>
      <c r="B70" s="18" t="s">
        <v>152</v>
      </c>
      <c r="C70" s="19" t="s">
        <v>8</v>
      </c>
      <c r="D70" s="20">
        <v>1</v>
      </c>
      <c r="E70" s="21"/>
      <c r="F70" s="6">
        <v>83</v>
      </c>
      <c r="G70" t="s">
        <v>150</v>
      </c>
    </row>
    <row r="71" spans="1:8" x14ac:dyDescent="0.25">
      <c r="D71" s="7" t="str">
        <f t="shared" ref="D71:D90" si="0">IF(0&lt;LEN(C71),IF("TR" = RIGHT(C71,2), "", IF("16" = RIGHT(C71,2), 1, IF("32" = RIGHT(C71, 2), 2, 4))), "")</f>
        <v/>
      </c>
      <c r="E71" s="7"/>
    </row>
    <row r="72" spans="1:8" x14ac:dyDescent="0.25">
      <c r="D72" s="7" t="str">
        <f t="shared" si="0"/>
        <v/>
      </c>
      <c r="E72" s="7"/>
    </row>
    <row r="73" spans="1:8" x14ac:dyDescent="0.25">
      <c r="D73" s="7" t="str">
        <f t="shared" si="0"/>
        <v/>
      </c>
      <c r="E73" s="7"/>
    </row>
    <row r="74" spans="1:8" x14ac:dyDescent="0.25">
      <c r="D74" s="7" t="str">
        <f t="shared" si="0"/>
        <v/>
      </c>
      <c r="E74" s="7"/>
    </row>
    <row r="75" spans="1:8" x14ac:dyDescent="0.25">
      <c r="D75" s="7" t="str">
        <f t="shared" si="0"/>
        <v/>
      </c>
      <c r="E75" s="7"/>
    </row>
    <row r="76" spans="1:8" x14ac:dyDescent="0.25">
      <c r="D76" s="7" t="str">
        <f t="shared" si="0"/>
        <v/>
      </c>
      <c r="E76" s="7"/>
    </row>
    <row r="77" spans="1:8" x14ac:dyDescent="0.25">
      <c r="D77" s="7" t="str">
        <f t="shared" si="0"/>
        <v/>
      </c>
      <c r="E77" s="7"/>
    </row>
    <row r="78" spans="1:8" x14ac:dyDescent="0.25">
      <c r="D78" s="7" t="str">
        <f t="shared" si="0"/>
        <v/>
      </c>
      <c r="E78" s="7"/>
    </row>
    <row r="79" spans="1:8" x14ac:dyDescent="0.25">
      <c r="D79" s="7" t="str">
        <f t="shared" si="0"/>
        <v/>
      </c>
      <c r="E79" s="7"/>
    </row>
    <row r="80" spans="1:8" x14ac:dyDescent="0.25">
      <c r="D80" s="7" t="str">
        <f t="shared" si="0"/>
        <v/>
      </c>
      <c r="E80" s="7"/>
    </row>
    <row r="81" spans="4:5" x14ac:dyDescent="0.25">
      <c r="D81" s="7" t="str">
        <f t="shared" si="0"/>
        <v/>
      </c>
      <c r="E81" s="7"/>
    </row>
    <row r="82" spans="4:5" x14ac:dyDescent="0.25">
      <c r="D82" s="7" t="str">
        <f t="shared" si="0"/>
        <v/>
      </c>
      <c r="E82" s="7"/>
    </row>
    <row r="83" spans="4:5" x14ac:dyDescent="0.25">
      <c r="D83" s="7" t="str">
        <f t="shared" si="0"/>
        <v/>
      </c>
      <c r="E83" s="7"/>
    </row>
    <row r="84" spans="4:5" x14ac:dyDescent="0.25">
      <c r="D84" s="7" t="str">
        <f t="shared" si="0"/>
        <v/>
      </c>
      <c r="E84" s="7"/>
    </row>
    <row r="85" spans="4:5" x14ac:dyDescent="0.25">
      <c r="D85" s="7" t="str">
        <f t="shared" si="0"/>
        <v/>
      </c>
      <c r="E85" s="7"/>
    </row>
    <row r="86" spans="4:5" x14ac:dyDescent="0.25">
      <c r="D86" s="7" t="str">
        <f t="shared" si="0"/>
        <v/>
      </c>
      <c r="E86" s="7"/>
    </row>
    <row r="87" spans="4:5" x14ac:dyDescent="0.25">
      <c r="D87" s="7" t="str">
        <f t="shared" si="0"/>
        <v/>
      </c>
      <c r="E87" s="7"/>
    </row>
    <row r="88" spans="4:5" x14ac:dyDescent="0.25">
      <c r="D88" s="7" t="str">
        <f t="shared" si="0"/>
        <v/>
      </c>
      <c r="E88" s="7"/>
    </row>
    <row r="89" spans="4:5" x14ac:dyDescent="0.25">
      <c r="D89" s="7" t="str">
        <f t="shared" si="0"/>
        <v/>
      </c>
      <c r="E89" s="7"/>
    </row>
    <row r="90" spans="4:5" x14ac:dyDescent="0.25">
      <c r="D90" s="7" t="str">
        <f t="shared" si="0"/>
        <v/>
      </c>
      <c r="E90" s="7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r:id="rId5">
            <anchor moveWithCells="1">
              <from>
                <xdr:col>1</xdr:col>
                <xdr:colOff>0</xdr:colOff>
                <xdr:row>0</xdr:row>
                <xdr:rowOff>200025</xdr:rowOff>
              </from>
              <to>
                <xdr:col>1</xdr:col>
                <xdr:colOff>1590675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Typedef!$A$2:$A$20</xm:f>
          </x14:formula1>
          <xm:sqref>C48:C49 C38:C39 C3:C25</xm:sqref>
        </x14:dataValidation>
        <x14:dataValidation type="list" allowBlank="1" showInputMessage="1" showErrorMessage="1" xr:uid="{00000000-0002-0000-0000-000001000000}">
          <x14:formula1>
            <xm:f>Typedef!$A$2:$A$50</xm:f>
          </x14:formula1>
          <xm:sqref>C50:C51 C54:C55 C10:C17 C69:C70</xm:sqref>
        </x14:dataValidation>
        <x14:dataValidation type="list" allowBlank="1" showInputMessage="1" showErrorMessage="1" xr:uid="{00000000-0002-0000-0000-000002000000}">
          <x14:formula1>
            <xm:f>Typedef!$A$2:$A$30</xm:f>
          </x14:formula1>
          <xm:sqref>C52:C53 C26:C37 C40:C47 C56:C68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29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30</v>
      </c>
    </row>
    <row r="9" spans="1:2" x14ac:dyDescent="0.25">
      <c r="A9" t="s">
        <v>15</v>
      </c>
      <c r="B9" s="2" t="s">
        <v>31</v>
      </c>
    </row>
    <row r="10" spans="1:2" x14ac:dyDescent="0.25">
      <c r="A10" t="s">
        <v>27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Chen Cody</cp:lastModifiedBy>
  <dcterms:created xsi:type="dcterms:W3CDTF">2020-09-30T01:47:31Z</dcterms:created>
  <dcterms:modified xsi:type="dcterms:W3CDTF">2025-07-09T01:02:01Z</dcterms:modified>
</cp:coreProperties>
</file>